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wang/Desktop/excel_AI/xor/"/>
    </mc:Choice>
  </mc:AlternateContent>
  <xr:revisionPtr revIDLastSave="0" documentId="13_ncr:1_{5AC57787-D33C-964A-805E-8A26B1332B27}" xr6:coauthVersionLast="47" xr6:coauthVersionMax="47" xr10:uidLastSave="{00000000-0000-0000-0000-000000000000}"/>
  <bookViews>
    <workbookView xWindow="1440" yWindow="660" windowWidth="28800" windowHeight="18980" xr2:uid="{00000000-000D-0000-FFFF-FFFF00000000}"/>
  </bookViews>
  <sheets>
    <sheet name="00_Config" sheetId="1" r:id="rId1"/>
    <sheet name="01_Data" sheetId="2" r:id="rId2"/>
    <sheet name="02_Forw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B13" i="3"/>
  <c r="A13" i="3"/>
  <c r="D13" i="3" s="1"/>
  <c r="F13" i="3" s="1"/>
  <c r="E12" i="3"/>
  <c r="G12" i="3" s="1"/>
  <c r="D12" i="3"/>
  <c r="F12" i="3" s="1"/>
  <c r="H12" i="3" s="1"/>
  <c r="I12" i="3" s="1"/>
  <c r="C12" i="3"/>
  <c r="B12" i="3"/>
  <c r="A12" i="3"/>
  <c r="C11" i="3"/>
  <c r="B11" i="3"/>
  <c r="A11" i="3"/>
  <c r="E11" i="3" s="1"/>
  <c r="G11" i="3" s="1"/>
  <c r="C10" i="3"/>
  <c r="B10" i="3"/>
  <c r="A10" i="3"/>
  <c r="E10" i="3" s="1"/>
  <c r="G10" i="3" s="1"/>
  <c r="E13" i="3" l="1"/>
  <c r="G13" i="3" s="1"/>
  <c r="H13" i="3" s="1"/>
  <c r="I13" i="3" s="1"/>
  <c r="D11" i="3"/>
  <c r="F11" i="3" s="1"/>
  <c r="H11" i="3" s="1"/>
  <c r="I11" i="3" s="1"/>
  <c r="D10" i="3"/>
  <c r="F10" i="3" s="1"/>
  <c r="H10" i="3" s="1"/>
  <c r="I10" i="3" s="1"/>
  <c r="I15" i="3" l="1"/>
</calcChain>
</file>

<file path=xl/sharedStrings.xml><?xml version="1.0" encoding="utf-8"?>
<sst xmlns="http://schemas.openxmlformats.org/spreadsheetml/2006/main" count="29" uniqueCount="26">
  <si>
    <t>Forward pass + gradients for XOR (macro-free)</t>
  </si>
  <si>
    <t>Hyperparameters</t>
  </si>
  <si>
    <t>Learning rate (lr)</t>
  </si>
  <si>
    <t>Batch size (N)</t>
  </si>
  <si>
    <t>Hidden units (h)</t>
  </si>
  <si>
    <t>Activation</t>
  </si>
  <si>
    <t>sigmoid</t>
  </si>
  <si>
    <t>XOR Dataset</t>
  </si>
  <si>
    <t>sample</t>
  </si>
  <si>
    <t>x1</t>
  </si>
  <si>
    <t>x2</t>
  </si>
  <si>
    <t>y</t>
  </si>
  <si>
    <t>Forward Pass (XOR MLP)</t>
  </si>
  <si>
    <t>z1 = XW1 + b1 ; a1 = sigmoid(z1) ; y_hat = a1W2 + b2 ; Loss = MSE</t>
  </si>
  <si>
    <t>W1</t>
  </si>
  <si>
    <t>b1</t>
  </si>
  <si>
    <t>W2</t>
  </si>
  <si>
    <t>b2</t>
  </si>
  <si>
    <t>z1_1</t>
  </si>
  <si>
    <t>z1_2</t>
  </si>
  <si>
    <t>a1_1</t>
  </si>
  <si>
    <t>a1_2</t>
  </si>
  <si>
    <t>y_hat</t>
  </si>
  <si>
    <t>(y_hat-y)^2</t>
  </si>
  <si>
    <t>MSE</t>
  </si>
  <si>
    <t>XOR Neural Network Workbook (No Macros)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</si>
</sst>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G18" sqref="G18"/>
    </sheetView>
  </sheetViews>
  <sheetFormatPr baseColWidth="10" defaultColWidth="8.83203125" defaultRowHeight="15" x14ac:dyDescent="0.2"/>
  <cols>
    <col min="1" max="1" width="30" customWidth="1"/>
    <col min="2" max="2" width="18" customWidth="1"/>
  </cols>
  <sheetData>
    <row r="1" spans="1:2" ht="19" x14ac:dyDescent="0.2">
      <c r="A1" s="1" t="s">
        <v>25</v>
      </c>
    </row>
    <row r="2" spans="1:2" x14ac:dyDescent="0.2">
      <c r="A2" t="s">
        <v>0</v>
      </c>
    </row>
    <row r="5" spans="1:2" ht="16" x14ac:dyDescent="0.2">
      <c r="A5" s="2" t="s">
        <v>1</v>
      </c>
      <c r="B5" s="2"/>
    </row>
    <row r="6" spans="1:2" ht="16" x14ac:dyDescent="0.2">
      <c r="A6" s="3" t="s">
        <v>2</v>
      </c>
      <c r="B6" s="3">
        <v>0.5</v>
      </c>
    </row>
    <row r="7" spans="1:2" ht="16" x14ac:dyDescent="0.2">
      <c r="A7" s="3" t="s">
        <v>3</v>
      </c>
      <c r="B7" s="3">
        <v>4</v>
      </c>
    </row>
    <row r="8" spans="1:2" ht="16" x14ac:dyDescent="0.2">
      <c r="A8" s="3" t="s">
        <v>4</v>
      </c>
      <c r="B8" s="3">
        <v>2</v>
      </c>
    </row>
    <row r="9" spans="1:2" ht="16" x14ac:dyDescent="0.2">
      <c r="A9" s="3" t="s">
        <v>5</v>
      </c>
      <c r="B9" s="3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baseColWidth="10" defaultColWidth="8.83203125" defaultRowHeight="15" x14ac:dyDescent="0.2"/>
  <cols>
    <col min="1" max="1" width="10" customWidth="1"/>
    <col min="2" max="4" width="12" customWidth="1"/>
  </cols>
  <sheetData>
    <row r="1" spans="1:4" ht="19" x14ac:dyDescent="0.2">
      <c r="A1" s="1" t="s">
        <v>7</v>
      </c>
    </row>
    <row r="4" spans="1:4" ht="16" x14ac:dyDescent="0.2">
      <c r="A4" s="2" t="s">
        <v>8</v>
      </c>
      <c r="B4" s="2" t="s">
        <v>9</v>
      </c>
      <c r="C4" s="2" t="s">
        <v>10</v>
      </c>
      <c r="D4" s="2" t="s">
        <v>11</v>
      </c>
    </row>
    <row r="5" spans="1:4" x14ac:dyDescent="0.2">
      <c r="A5" s="3">
        <v>1</v>
      </c>
      <c r="B5" s="3">
        <v>0</v>
      </c>
      <c r="C5" s="3">
        <v>0</v>
      </c>
      <c r="D5" s="3">
        <v>0</v>
      </c>
    </row>
    <row r="6" spans="1:4" x14ac:dyDescent="0.2">
      <c r="A6" s="3">
        <v>2</v>
      </c>
      <c r="B6" s="3">
        <v>0</v>
      </c>
      <c r="C6" s="3">
        <v>1</v>
      </c>
      <c r="D6" s="3">
        <v>1</v>
      </c>
    </row>
    <row r="7" spans="1:4" x14ac:dyDescent="0.2">
      <c r="A7" s="3">
        <v>3</v>
      </c>
      <c r="B7" s="3">
        <v>1</v>
      </c>
      <c r="C7" s="3">
        <v>0</v>
      </c>
      <c r="D7" s="3">
        <v>1</v>
      </c>
    </row>
    <row r="8" spans="1:4" x14ac:dyDescent="0.2">
      <c r="A8" s="3">
        <v>4</v>
      </c>
      <c r="B8" s="3">
        <v>1</v>
      </c>
      <c r="C8" s="3">
        <v>1</v>
      </c>
      <c r="D8" s="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/>
  </sheetViews>
  <sheetFormatPr baseColWidth="10" defaultColWidth="8.83203125" defaultRowHeight="15" x14ac:dyDescent="0.2"/>
  <sheetData>
    <row r="1" spans="1:10" ht="19" x14ac:dyDescent="0.2">
      <c r="A1" s="1" t="s">
        <v>12</v>
      </c>
    </row>
    <row r="3" spans="1:10" x14ac:dyDescent="0.2">
      <c r="A3" t="s">
        <v>13</v>
      </c>
    </row>
    <row r="5" spans="1:10" x14ac:dyDescent="0.2">
      <c r="A5" t="s">
        <v>14</v>
      </c>
      <c r="B5">
        <v>0.5</v>
      </c>
      <c r="C5">
        <v>-0.5</v>
      </c>
      <c r="E5" t="s">
        <v>15</v>
      </c>
      <c r="H5" t="s">
        <v>16</v>
      </c>
      <c r="J5" t="s">
        <v>17</v>
      </c>
    </row>
    <row r="6" spans="1:10" x14ac:dyDescent="0.2">
      <c r="B6">
        <v>0.5</v>
      </c>
      <c r="C6">
        <v>0.5</v>
      </c>
      <c r="E6">
        <v>0</v>
      </c>
      <c r="F6">
        <v>0</v>
      </c>
      <c r="H6">
        <v>0.7</v>
      </c>
      <c r="J6">
        <v>0</v>
      </c>
    </row>
    <row r="7" spans="1:10" x14ac:dyDescent="0.2">
      <c r="H7">
        <v>-0.7</v>
      </c>
    </row>
    <row r="9" spans="1:10" ht="32" x14ac:dyDescent="0.2">
      <c r="A9" s="2" t="s">
        <v>9</v>
      </c>
      <c r="B9" s="2" t="s">
        <v>10</v>
      </c>
      <c r="C9" s="2" t="s">
        <v>11</v>
      </c>
      <c r="D9" s="2" t="s">
        <v>18</v>
      </c>
      <c r="E9" s="2" t="s">
        <v>19</v>
      </c>
      <c r="F9" s="2" t="s">
        <v>20</v>
      </c>
      <c r="G9" s="2" t="s">
        <v>21</v>
      </c>
      <c r="H9" s="2" t="s">
        <v>22</v>
      </c>
      <c r="I9" s="2" t="s">
        <v>23</v>
      </c>
    </row>
    <row r="10" spans="1:10" x14ac:dyDescent="0.2">
      <c r="A10">
        <f>'01_Data'!B5</f>
        <v>0</v>
      </c>
      <c r="B10">
        <f>'01_Data'!C5</f>
        <v>0</v>
      </c>
      <c r="C10">
        <f>'01_Data'!D5</f>
        <v>0</v>
      </c>
      <c r="D10">
        <f>A10*$B$5+B10*$B$6+$E$6</f>
        <v>0</v>
      </c>
      <c r="E10">
        <f>A10*$C$5+B10*$C$6+$F$6</f>
        <v>0</v>
      </c>
      <c r="F10">
        <f t="shared" ref="F10:G13" si="0">1/(1+EXP(-D10))</f>
        <v>0.5</v>
      </c>
      <c r="G10">
        <f t="shared" si="0"/>
        <v>0.5</v>
      </c>
      <c r="H10">
        <f>F10*$H$6+G10*$H$7+$J$6</f>
        <v>0</v>
      </c>
      <c r="I10">
        <f>(H10-C10)^2</f>
        <v>0</v>
      </c>
    </row>
    <row r="11" spans="1:10" x14ac:dyDescent="0.2">
      <c r="A11">
        <f>'01_Data'!B6</f>
        <v>0</v>
      </c>
      <c r="B11">
        <f>'01_Data'!C6</f>
        <v>1</v>
      </c>
      <c r="C11">
        <f>'01_Data'!D6</f>
        <v>1</v>
      </c>
      <c r="D11">
        <f>A11*$B$5+B11*$B$6+$E$6</f>
        <v>0.5</v>
      </c>
      <c r="E11">
        <f>A11*$C$5+B11*$C$6+$F$6</f>
        <v>0.5</v>
      </c>
      <c r="F11">
        <f t="shared" si="0"/>
        <v>0.62245933120185459</v>
      </c>
      <c r="G11">
        <f t="shared" si="0"/>
        <v>0.62245933120185459</v>
      </c>
      <c r="H11">
        <f>F11*$H$6+G11*$H$7+$J$6</f>
        <v>0</v>
      </c>
      <c r="I11">
        <f>(H11-C11)^2</f>
        <v>1</v>
      </c>
    </row>
    <row r="12" spans="1:10" x14ac:dyDescent="0.2">
      <c r="A12">
        <f>'01_Data'!B7</f>
        <v>1</v>
      </c>
      <c r="B12">
        <f>'01_Data'!C7</f>
        <v>0</v>
      </c>
      <c r="C12">
        <f>'01_Data'!D7</f>
        <v>1</v>
      </c>
      <c r="D12">
        <f>A12*$B$5+B12*$B$6+$E$6</f>
        <v>0.5</v>
      </c>
      <c r="E12">
        <f>A12*$C$5+B12*$C$6+$F$6</f>
        <v>-0.5</v>
      </c>
      <c r="F12">
        <f t="shared" si="0"/>
        <v>0.62245933120185459</v>
      </c>
      <c r="G12">
        <f t="shared" si="0"/>
        <v>0.37754066879814541</v>
      </c>
      <c r="H12">
        <f>F12*$H$6+G12*$H$7+$J$6</f>
        <v>0.17144306368259643</v>
      </c>
      <c r="I12">
        <f>(H12-C12)^2</f>
        <v>0.68650659671968195</v>
      </c>
    </row>
    <row r="13" spans="1:10" x14ac:dyDescent="0.2">
      <c r="A13">
        <f>'01_Data'!B8</f>
        <v>1</v>
      </c>
      <c r="B13">
        <f>'01_Data'!C8</f>
        <v>1</v>
      </c>
      <c r="C13">
        <f>'01_Data'!D8</f>
        <v>0</v>
      </c>
      <c r="D13">
        <f>A13*$B$5+B13*$B$6+$E$6</f>
        <v>1</v>
      </c>
      <c r="E13">
        <f>A13*$C$5+B13*$C$6+$F$6</f>
        <v>0</v>
      </c>
      <c r="F13">
        <f t="shared" si="0"/>
        <v>0.7310585786300049</v>
      </c>
      <c r="G13">
        <f t="shared" si="0"/>
        <v>0.5</v>
      </c>
      <c r="H13">
        <f>F13*$H$6+G13*$H$7+$J$6</f>
        <v>0.16174100504100342</v>
      </c>
      <c r="I13">
        <f>(H13-C13)^2</f>
        <v>2.6160152711673892E-2</v>
      </c>
    </row>
    <row r="15" spans="1:10" x14ac:dyDescent="0.2">
      <c r="H15" s="4" t="s">
        <v>24</v>
      </c>
      <c r="I15" s="4">
        <f>AVERAGE(I10:I13)</f>
        <v>0.42816668735783897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00_Config</vt:lpstr>
      <vt:lpstr>01_Data</vt:lpstr>
      <vt:lpstr>02_Forward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Wang, Ping</cp:lastModifiedBy>
  <dcterms:created xsi:type="dcterms:W3CDTF">2026-01-18T03:44:54Z</dcterms:created>
  <dcterms:modified xsi:type="dcterms:W3CDTF">2026-01-18T04:04:28Z</dcterms:modified>
</cp:coreProperties>
</file>